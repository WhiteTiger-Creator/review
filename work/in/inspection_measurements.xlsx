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Drawing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4405E"/>
      <sz val="12"/>
    </font>
    <font>
      <b val="1"/>
      <color rgb="0024405E"/>
      <sz val="9.5"/>
    </font>
    <font>
      <b val="1"/>
      <color rgb="0024405E"/>
      <sz val="10"/>
    </font>
  </fonts>
  <fills count="3">
    <fill>
      <patternFill/>
    </fill>
    <fill>
      <patternFill patternType="gray125"/>
    </fill>
    <fill>
      <patternFill patternType="solid">
        <fgColor rgb="00E4EA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Inspection results against the drawing, discrepant lots only</t>
        </is>
      </c>
    </row>
    <row r="3">
      <c r="A3" s="2" t="inlineStr">
        <is>
          <t>Lot</t>
        </is>
      </c>
      <c r="B3" s="2" t="inlineStr">
        <is>
          <t>Characteristic</t>
        </is>
      </c>
      <c r="C3" s="2" t="inlineStr">
        <is>
          <t>Drawing nominal</t>
        </is>
      </c>
      <c r="D3" s="2" t="inlineStr">
        <is>
          <t>General tolerance</t>
        </is>
      </c>
      <c r="E3" s="2" t="inlineStr">
        <is>
          <t>Upper limit</t>
        </is>
      </c>
      <c r="F3" s="2" t="inlineStr">
        <is>
          <t>Measured</t>
        </is>
      </c>
      <c r="G3" s="2" t="inlineStr">
        <is>
          <t>Inside the general tolerance?</t>
        </is>
      </c>
      <c r="H3" s="2" t="inlineStr">
        <is>
          <t>Pieces affected</t>
        </is>
      </c>
      <c r="I3" s="2" t="inlineStr">
        <is>
          <t>Pieces conforming</t>
        </is>
      </c>
      <c r="J3" s="2" t="inlineStr">
        <is>
          <t>Inspector</t>
        </is>
      </c>
      <c r="K3" s="2" t="inlineStr">
        <is>
          <t>Specific drawing note applies</t>
        </is>
      </c>
    </row>
    <row r="4">
      <c r="A4" t="inlineStr">
        <is>
          <t>L-2201</t>
        </is>
      </c>
      <c r="B4" t="inlineStr">
        <is>
          <t>Bore diameter (mm)</t>
        </is>
      </c>
      <c r="C4" t="n">
        <v>22.2</v>
      </c>
      <c r="D4" t="inlineStr">
        <is>
          <t>+/- 0.05</t>
        </is>
      </c>
      <c r="E4" t="n">
        <v>22.25</v>
      </c>
      <c r="F4" t="n">
        <v>22.3</v>
      </c>
      <c r="G4" t="inlineStr">
        <is>
          <t>no</t>
        </is>
      </c>
      <c r="H4" t="n">
        <v>14</v>
      </c>
      <c r="I4">
        <f>(40-H4)</f>
        <v/>
      </c>
      <c r="J4" t="inlineStr">
        <is>
          <t>S. Achterberg</t>
        </is>
      </c>
      <c r="K4" t="inlineStr"/>
    </row>
    <row r="5">
      <c r="A5" t="inlineStr">
        <is>
          <t>L-2204</t>
        </is>
      </c>
      <c r="B5" t="inlineStr">
        <is>
          <t>Bore diameter (mm)</t>
        </is>
      </c>
      <c r="C5" t="n">
        <v>22.2</v>
      </c>
      <c r="D5" t="inlineStr">
        <is>
          <t>+/- 0.05</t>
        </is>
      </c>
      <c r="E5" t="n">
        <v>22.25</v>
      </c>
      <c r="F5" t="n">
        <v>22.29</v>
      </c>
      <c r="G5" t="inlineStr">
        <is>
          <t>no</t>
        </is>
      </c>
      <c r="H5" t="n">
        <v>9</v>
      </c>
      <c r="I5">
        <f>(25-H5)</f>
        <v/>
      </c>
      <c r="J5" t="inlineStr">
        <is>
          <t>S. Achterberg</t>
        </is>
      </c>
      <c r="K5" t="inlineStr"/>
    </row>
    <row r="6">
      <c r="A6" t="inlineStr">
        <is>
          <t>L-2207</t>
        </is>
      </c>
      <c r="B6" t="inlineStr">
        <is>
          <t>Surface finish, sealing face (um Ra)</t>
        </is>
      </c>
      <c r="C6" t="n">
        <v>3.2</v>
      </c>
      <c r="D6" t="inlineStr">
        <is>
          <t>+/- 1.60</t>
        </is>
      </c>
      <c r="E6" t="n">
        <v>4.8</v>
      </c>
      <c r="F6" t="n">
        <v>2.1</v>
      </c>
      <c r="G6" t="inlineStr">
        <is>
          <t>yes</t>
        </is>
      </c>
      <c r="H6" t="n">
        <v>60</v>
      </c>
      <c r="I6">
        <f>(60-H6)</f>
        <v/>
      </c>
      <c r="J6" t="inlineStr">
        <is>
          <t>S. Achterberg</t>
        </is>
      </c>
      <c r="K6" t="inlineStr">
        <is>
          <t>note 4: sealing face not to exceed 1.6 um Ra; no concession</t>
        </is>
      </c>
    </row>
    <row r="7">
      <c r="A7" t="inlineStr">
        <is>
          <t>L-2210</t>
        </is>
      </c>
      <c r="B7" t="inlineStr">
        <is>
          <t>Flatness, mounting face (mm)</t>
        </is>
      </c>
      <c r="C7" t="n">
        <v>0</v>
      </c>
      <c r="D7" t="inlineStr">
        <is>
          <t>0.05 max</t>
        </is>
      </c>
      <c r="E7" t="n">
        <v>0.05</v>
      </c>
      <c r="F7" t="n">
        <v>0.03</v>
      </c>
      <c r="G7" t="inlineStr">
        <is>
          <t>yes</t>
        </is>
      </c>
      <c r="H7" t="n">
        <v>0</v>
      </c>
      <c r="I7">
        <f>(30-H7)</f>
        <v/>
      </c>
      <c r="J7" t="inlineStr">
        <is>
          <t>M. Ruane</t>
        </is>
      </c>
      <c r="K7" t="inlineStr"/>
    </row>
    <row r="8">
      <c r="A8" t="inlineStr">
        <is>
          <t>L-2213</t>
        </is>
      </c>
      <c r="B8" t="inlineStr">
        <is>
          <t>Edge condition</t>
        </is>
      </c>
      <c r="C8" t="n">
        <v>0</v>
      </c>
      <c r="D8" t="inlineStr">
        <is>
          <t>visual</t>
        </is>
      </c>
      <c r="E8" t="n">
        <v>0</v>
      </c>
      <c r="F8" t="n">
        <v>0</v>
      </c>
      <c r="G8" t="inlineStr">
        <is>
          <t>no</t>
        </is>
      </c>
      <c r="H8" t="n">
        <v>6</v>
      </c>
      <c r="I8">
        <f>(18-H8)</f>
        <v/>
      </c>
      <c r="J8" t="inlineStr">
        <is>
          <t>M. Ruane</t>
        </is>
      </c>
      <c r="K8" t="inlineStr">
        <is>
          <t>see the receiving note</t>
        </is>
      </c>
    </row>
    <row r="9">
      <c r="A9" t="inlineStr">
        <is>
          <t>L-2216</t>
        </is>
      </c>
      <c r="B9" t="inlineStr">
        <is>
          <t>Thread pitch (mm)</t>
        </is>
      </c>
      <c r="C9" t="n">
        <v>1.5</v>
      </c>
      <c r="D9" t="inlineStr">
        <is>
          <t>+/- 0.02</t>
        </is>
      </c>
      <c r="E9" t="n">
        <v>1.52</v>
      </c>
      <c r="F9" t="n">
        <v>1.56</v>
      </c>
      <c r="G9" t="inlineStr">
        <is>
          <t>no</t>
        </is>
      </c>
      <c r="H9" t="n">
        <v>9</v>
      </c>
      <c r="I9">
        <f>(22-H9)</f>
        <v/>
      </c>
      <c r="J9" t="inlineStr">
        <is>
          <t>M. Ruane</t>
        </is>
      </c>
      <c r="K9" t="inlineStr"/>
    </row>
    <row r="11">
      <c r="A11" s="3" t="inlineStr">
        <is>
          <t>Lots inside the general tolerance</t>
        </is>
      </c>
      <c r="F11" s="3">
        <f>COUNTIF(G4:G9,"yes")</f>
        <v/>
      </c>
    </row>
    <row r="12">
      <c r="A12" s="3" t="inlineStr">
        <is>
          <t>Lots with a specific note</t>
        </is>
      </c>
      <c r="F12" s="3">
        <f>COUNTIF(K4:K9,"note*")</f>
        <v/>
      </c>
    </row>
    <row r="13">
      <c r="A13" s="3" t="inlineStr">
        <is>
          <t>Pieces affected across the lots</t>
        </is>
      </c>
      <c r="F13" s="3">
        <f>SUM(H4:H9)</f>
        <v/>
      </c>
    </row>
    <row r="14">
      <c r="A14" s="3" t="inlineStr">
        <is>
          <t>Pieces conforming across the lots</t>
        </is>
      </c>
      <c r="F14" s="3">
        <f>SUM(I4:I9)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20" customWidth="1" min="3" max="3"/>
  </cols>
  <sheetData>
    <row r="1">
      <c r="A1" s="1" t="inlineStr">
        <is>
          <t>Notes carried on the P-7719 manifold drawing, revision E</t>
        </is>
      </c>
    </row>
    <row r="3">
      <c r="A3" s="2" t="inlineStr">
        <is>
          <t>Note</t>
        </is>
      </c>
      <c r="B3" s="2" t="inlineStr">
        <is>
          <t>Text</t>
        </is>
      </c>
      <c r="C3" s="2" t="inlineStr">
        <is>
          <t>Overrides the general tolerance block?</t>
        </is>
      </c>
    </row>
    <row r="4">
      <c r="A4" t="n">
        <v>1</v>
      </c>
      <c r="B4" t="inlineStr">
        <is>
          <t>All dimensions in millimeters. General tolerance block applies except where a note states otherwise.</t>
        </is>
      </c>
      <c r="C4" t="inlineStr">
        <is>
          <t>no</t>
        </is>
      </c>
    </row>
    <row r="5">
      <c r="A5" t="n">
        <v>2</v>
      </c>
      <c r="B5" t="inlineStr">
        <is>
          <t>Break sharp edges 0.2 to 0.4.</t>
        </is>
      </c>
      <c r="C5" t="inlineStr">
        <is>
          <t>no</t>
        </is>
      </c>
    </row>
    <row r="6">
      <c r="A6" t="n">
        <v>3</v>
      </c>
      <c r="B6" t="inlineStr">
        <is>
          <t>Material per WM-208, certification with each lot.</t>
        </is>
      </c>
      <c r="C6" t="inlineStr">
        <is>
          <t>no</t>
        </is>
      </c>
    </row>
    <row r="7">
      <c r="A7" t="n">
        <v>4</v>
      </c>
      <c r="B7" t="inlineStr">
        <is>
          <t>Sealing face not to exceed 1.6 um Ra. This face carries the static seal and no concession is available against this note.</t>
        </is>
      </c>
      <c r="C7" t="inlineStr">
        <is>
          <t>yes</t>
        </is>
      </c>
    </row>
    <row r="8">
      <c r="A8" t="n">
        <v>5</v>
      </c>
      <c r="B8" t="inlineStr">
        <is>
          <t>Mounting face flatness 0.05 max, measured across the bolt circle.</t>
        </is>
      </c>
      <c r="C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D. Hocutt</dc:creator>
  <dcterms:created xmlns:dcterms="http://purl.org/dc/terms/" xmlns:xsi="http://www.w3.org/2001/XMLSchema-instance" xsi:type="dcterms:W3CDTF">2026-08-20T19:19:07Z</dcterms:created>
  <dcterms:modified xmlns:dcterms="http://purl.org/dc/terms/" xmlns:xsi="http://www.w3.org/2001/XMLSchema-instance" xsi:type="dcterms:W3CDTF">2026-08-20T19:19:07Z</dcterms:modified>
  <cp:lastModifiedBy>D. Hocutt</cp:lastModifiedBy>
</cp:coreProperties>
</file>
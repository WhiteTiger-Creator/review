
<file path=[Content_Types].xml><?xml version="1.0" encoding="utf-8"?>
<Types xmlns="http://schemas.openxmlformats.org/package/2006/content-types">
  <Default Extension="fntdata" ContentType="application/x-fontdata"/>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xl/sharedStrings.xml" ContentType="application/vnd.openxmlformats-officedocument.spreadsheetml.sharedString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workbookPr backupFile="false" showObjects="all" date1904="false"/>
  <workbookProtection/>
  <bookViews>
    <workbookView showHorizontalScroll="true" showVerticalScroll="true" showSheetTabs="true" xWindow="0" yWindow="0" windowWidth="16384" windowHeight="8192" tabRatio="600" firstSheet="0" activeTab="0"/>
  </bookViews>
  <sheets>
    <sheet name="Lot_Gates" sheetId="1" state="visible" r:id="rId3"/>
    <sheet name="Cost_Compare" sheetId="2" state="visible" r:id="rId4"/>
    <sheet name="Dispositions" sheetId="3" state="visible" r:id="rId5"/>
    <sheet name="Program_Report" sheetId="4" state="visible" r:id="rId6"/>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<sst xmlns="http://schemas.openxmlformats.org/spreadsheetml/2006/main" count="138" uniqueCount="101">
  <si>
    <t xml:space="preserve">The QS-9 gates in order, one lot per row</t>
  </si>
  <si>
    <t xml:space="preserve">Lot</t>
  </si>
  <si>
    <t xml:space="preserve">Supplier</t>
  </si>
  <si>
    <t xml:space="preserve">Receipt date (report)</t>
  </si>
  <si>
    <t xml:space="preserve">Days to disposition</t>
  </si>
  <si>
    <t xml:space="preserve">Claim window (days, terms)</t>
  </si>
  <si>
    <t xml:space="preserve">Window closes</t>
  </si>
  <si>
    <t xml:space="preserve">Inside the window?</t>
  </si>
  <si>
    <t xml:space="preserve">Attributed to (report)</t>
  </si>
  <si>
    <t xml:space="preserve">Inside the general tolerance? (measurements)</t>
  </si>
  <si>
    <t xml:space="preserve">Specific note bars use as is?</t>
  </si>
  <si>
    <t xml:space="preserve">Use as is available?</t>
  </si>
  <si>
    <t xml:space="preserve">Return to vendor available?</t>
  </si>
  <si>
    <t xml:space="preserve">Basis</t>
  </si>
  <si>
    <t xml:space="preserve">L-2201</t>
  </si>
  <si>
    <t xml:space="preserve">Kelbourne Castings</t>
  </si>
  <si>
    <t xml:space="preserve">2026-08-02</t>
  </si>
  <si>
    <t xml:space="preserve">supplier</t>
  </si>
  <si>
    <t xml:space="preserve">no</t>
  </si>
  <si>
    <t xml:space="preserve">supplier-caused and inside the window, so the lot goes back (QS-9 4); 26 conforming pieces release to the build under 7a, 14 go back</t>
  </si>
  <si>
    <t xml:space="preserve">L-2204</t>
  </si>
  <si>
    <t xml:space="preserve">2026-06-30</t>
  </si>
  <si>
    <t xml:space="preserve">supplier-caused but 45 days from receipt against a 30-day window, so the return route is closed and the cost is ours (QS-9 4); 16 conforming pieces release under 7a while the 9 rework</t>
  </si>
  <si>
    <t xml:space="preserve">L-2207</t>
  </si>
  <si>
    <t xml:space="preserve">Ashgrove Precision</t>
  </si>
  <si>
    <t xml:space="preserve">2026-08-05</t>
  </si>
  <si>
    <t xml:space="preserve">yes</t>
  </si>
  <si>
    <t xml:space="preserve">the finish sits inside the general block and note 4 governs the sealing face with no concession, so use as is is not available (QS-9 3)</t>
  </si>
  <si>
    <t xml:space="preserve">L-2210</t>
  </si>
  <si>
    <t xml:space="preserve">2026-07-30</t>
  </si>
  <si>
    <t xml:space="preserve">note 5 governs the mounting face at 0.05 mm maximum and the 0.03 mm result passes it, so the lot is usable as is (QS-9 3)</t>
  </si>
  <si>
    <t xml:space="preserve">L-2213</t>
  </si>
  <si>
    <t xml:space="preserve">2026-08-07</t>
  </si>
  <si>
    <t xml:space="preserve">Wexford, dock handling</t>
  </si>
  <si>
    <t xml:space="preserve">forklift damage on our own dock is not attributable to the supplier, so the return route never opens (QS-9 5); 12 conforming pieces release under 7a</t>
  </si>
  <si>
    <t xml:space="preserve">L-2216</t>
  </si>
  <si>
    <t xml:space="preserve">Redmayne Machining</t>
  </si>
  <si>
    <t xml:space="preserve">2026-06-23</t>
  </si>
  <si>
    <t xml:space="preserve">supplier-caused but 52 days from receipt, outside the window (QS-9 4); 13 conforming pieces release under 7a, the 9 replaced</t>
  </si>
  <si>
    <t xml:space="preserve">Rework against replacement net of scrap, for the lots that reach QS-9 6</t>
  </si>
  <si>
    <t xml:space="preserve">Reaches clause 6?</t>
  </si>
  <si>
    <t xml:space="preserve">Rework quote ($, terms)</t>
  </si>
  <si>
    <t xml:space="preserve">Replacement ($, terms)</t>
  </si>
  <si>
    <t xml:space="preserve">Scrap credit ($, terms)</t>
  </si>
  <si>
    <t xml:space="preserve">Replacement net of scrap ($)</t>
  </si>
  <si>
    <t xml:space="preserve">Cheaper route</t>
  </si>
  <si>
    <t xml:space="preserve">Cost under clause 6 ($)</t>
  </si>
  <si>
    <t xml:space="preserve">One disposition per lot, the clause that produced it, and who carries the cost</t>
  </si>
  <si>
    <t xml:space="preserve">first week of September (the note gives no date; read here as through Friday 2026-09-04)</t>
  </si>
  <si>
    <t xml:space="preserve">Disposition</t>
  </si>
  <si>
    <t xml:space="preserve">Clause</t>
  </si>
  <si>
    <t xml:space="preserve">Cost ($)</t>
  </si>
  <si>
    <t xml:space="preserve">Borne by</t>
  </si>
  <si>
    <t xml:space="preserve">Replacement value returned ($)</t>
  </si>
  <si>
    <t xml:space="preserve">Lead time (days, terms)</t>
  </si>
  <si>
    <t xml:space="preserve">Replacement arrives</t>
  </si>
  <si>
    <t xml:space="preserve">Inside the first week of September?</t>
  </si>
  <si>
    <t xml:space="preserve">Pieces in lot</t>
  </si>
  <si>
    <t xml:space="preserve">Pieces affected</t>
  </si>
  <si>
    <t xml:space="preserve">Conforming released (7a)</t>
  </si>
  <si>
    <t xml:space="preserve">Note</t>
  </si>
  <si>
    <t xml:space="preserve">goes back to Kelbourne 12 days into the window, 18 days left</t>
  </si>
  <si>
    <t xml:space="preserve">the window ran out on 2026-07-30; the cost is ours because we sat on it</t>
  </si>
  <si>
    <t xml:space="preserve">note 4 bars a concession, and the lot is inside its window, so Ashgrove take it back</t>
  </si>
  <si>
    <t xml:space="preserve">0.03 against drawing note 5's 0.05 mounting-face maximum; 0 pieces affected on measurement, all 30 release</t>
  </si>
  <si>
    <t xml:space="preserve">our forklift, our cost; rework at 240 against replacement net of scrap at 720</t>
  </si>
  <si>
    <t xml:space="preserve">rework quoted at 1,900 against replacement net of scrap at 1,060, so the lot is scrapped</t>
  </si>
  <si>
    <t xml:space="preserve">Wexford cost total ($)</t>
  </si>
  <si>
    <t xml:space="preserve">Value returned to suppliers ($)</t>
  </si>
  <si>
    <t xml:space="preserve">Lots used as is</t>
  </si>
  <si>
    <t xml:space="preserve">Lots returned to vendor</t>
  </si>
  <si>
    <t xml:space="preserve">Lots reworked</t>
  </si>
  <si>
    <t xml:space="preserve">Lots scrapped and replaced</t>
  </si>
  <si>
    <t xml:space="preserve">Lots whose claim window had expired</t>
  </si>
  <si>
    <t xml:space="preserve">Lots whose replacement lands outside the build window</t>
  </si>
  <si>
    <t xml:space="preserve">Conforming pieces released to the build</t>
  </si>
  <si>
    <t xml:space="preserve">Quarantine cage dispositions, six lots</t>
  </si>
  <si>
    <t xml:space="preserve">Wexford Engineering Services, dispositioned 2026-08-14 under QS-9 issue 7.</t>
  </si>
  <si>
    <t xml:space="preserve">Figure</t>
  </si>
  <si>
    <t xml:space="preserve">Value</t>
  </si>
  <si>
    <t xml:space="preserve">Wexford carries 1,820 dollars across three lots. The suppliers carry 2,340 dollars of</t>
  </si>
  <si>
    <t xml:space="preserve">replacement value across two, which is the number the commercial team will want kept apart from</t>
  </si>
  <si>
    <t xml:space="preserve">ours.</t>
  </si>
  <si>
    <t xml:space="preserve">Two lots cost us money that a claim would have covered. L-2204 and L-2216 are both supplier</t>
  </si>
  <si>
    <t xml:space="preserve">defects, and both sat in the cage past the thirty-day claim window on the purchase terms, at 45</t>
  </si>
  <si>
    <t xml:space="preserve">and 52 days. The window on the adaptor lot had been shut for 22 days before disposition. That</t>
  </si>
  <si>
    <t xml:space="preserve">is 1,580 dollars of the total, and it is a cage-management problem rather than a supplier one.</t>
  </si>
  <si>
    <t xml:space="preserve">The manifold lot is the one worth reading carefully. Its finish measures 2.1 micrometres against</t>
  </si>
  <si>
    <t xml:space="preserve">a general tolerance block that would allow 4.8, which is why it has twice been called fine. Note</t>
  </si>
  <si>
    <t xml:space="preserve">4 on revision E governs the sealing face at 1.6 maximum and states that no concession is</t>
  </si>
  <si>
    <t xml:space="preserve">available, and a specific note overrides the block for the characteristic it names. The lot is</t>
  </si>
  <si>
    <t xml:space="preserve">inside its window, so it goes back to Ashgrove and costs us nothing.</t>
  </si>
  <si>
    <t xml:space="preserve">The housing lot was hit by a forklift on our own dock. It looks like a supplier defect on the</t>
  </si>
  <si>
    <t xml:space="preserve">inspection sheet and it is not one, so no claim is raised; rework at 240 against replacement net</t>
  </si>
  <si>
    <t xml:space="preserve">of scrap at 720 makes rework the cheaper route.</t>
  </si>
  <si>
    <t xml:space="preserve">The adaptor lot is scrapped rather than reworked. The rework quote of 1,900 is well above</t>
  </si>
  <si>
    <t xml:space="preserve">replacement net of its 90-dollar scrap credit at 1,060, and QS-9 6 takes the cheaper route.</t>
  </si>
  <si>
    <t xml:space="preserve">Replacement runs 25 days, which puts those parts outside the first week of September.</t>
  </si>
  <si>
    <t xml:space="preserve">QS-9 7a splits. Four lots are partial: the disposition is taken on the affected pieces and the conforming balance releases to the build under the same lot number - 26 pieces from L-2201, 16 from L-2204, 12 from L-2213 and 13 from L-2216, 67 in all, recorded on the Dispositions tab, and L-2210 releases whole: 0 pieces affected on measurement, all 30 usable. The L-2201 and L-2204 conforming balances released at disposition on 2026-08-14, ahead of the first week of September the Harlow build is working to.</t>
  </si>
  <si>
    <t xml:space="preserve">Missing information</t>
  </si>
  <si>
    <t xml:space="preserve">The rework and replacement quotes are read as quoted for the affected pieces, as 7a directs; none plainly covers a whole lot, so no supplier query was triggered. Two points the files leave open. The program note names the Harlow build and its window but gives no quantities, so whether the 97 conforming pieces released under 7a cover what the build needs cannot be answered from these inputs. And the note says first week of September without a date; the schedule column reads that as through Friday 2026-09-04, a reading of the phrase rather than a date any input gives. Only L-2216 lands outside the week on any reading of it.</t>
  </si>
</sst>
</file>

<file path=xl/styles.xml><?xml version="1.0" encoding="utf-8"?>
<styleSheet xmlns="http://schemas.openxmlformats.org/spreadsheetml/2006/main">
  <numFmts count="1">
    <numFmt numFmtId="164" formatCode="General"/>
  </numFmts>
  <fonts count="10">
    <font>
      <sz val="11"/>
      <color theme="1"/>
      <name val="Calibri"/>
      <family val="2"/>
      <charset val="1"/>
    </font>
    <font>
      <sz val="10"/>
      <name val="Arial"/>
      <family val="0"/>
    </font>
    <font>
      <sz val="10"/>
      <name val="Arial"/>
      <family val="0"/>
    </font>
    <font>
      <sz val="10"/>
      <name val="Arial"/>
      <family val="0"/>
    </font>
    <font>
      <b val="true"/>
      <sz val="12"/>
      <color rgb="FF24405E"/>
      <name val="Cambria"/>
      <family val="0"/>
      <charset val="1"/>
    </font>
    <font>
      <b val="true"/>
      <sz val="9.5"/>
      <color rgb="FF24405E"/>
      <name val="Cambria"/>
      <family val="0"/>
      <charset val="1"/>
    </font>
    <font>
      <sz val="9.5"/>
      <name val="Cambria"/>
      <family val="0"/>
      <charset val="1"/>
    </font>
    <font>
      <b val="true"/>
      <sz val="10"/>
      <color rgb="FF24405E"/>
      <name val="Cambria"/>
      <family val="0"/>
      <charset val="1"/>
    </font>
    <font>
      <sz val="9"/>
      <name val="Cambria"/>
      <family val="0"/>
      <charset val="1"/>
    </font>
    <font>
      <b val="true"/>
      <sz val="10"/>
      <name val="Cambria"/>
      <family val="0"/>
      <charset val="1"/>
    </font>
  </fonts>
  <fills count="4">
    <fill>
      <patternFill patternType="none"/>
    </fill>
    <fill>
      <patternFill patternType="gray125"/>
    </fill>
    <fill>
      <patternFill patternType="solid">
        <fgColor rgb="FFE4EAF0"/>
        <bgColor rgb="FFF1E6DE"/>
      </patternFill>
    </fill>
    <fill>
      <patternFill patternType="solid">
        <fgColor rgb="FFF1E6DE"/>
        <bgColor rgb="FFE4EAF0"/>
      </patternFill>
    </fill>
  </fills>
  <borders count="1">
    <border diagonalUp="false" diagonalDown="false">
      <left/>
      <right/>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9">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5" fillId="2" borderId="0" xfId="0" applyFont="true" applyBorder="false" applyAlignment="true" applyProtection="false">
      <alignment horizontal="general" vertical="top" textRotation="0" wrapText="true" indent="0" shrinkToFit="false"/>
      <protection locked="true" hidden="false"/>
    </xf>
    <xf numFmtId="164" fontId="6" fillId="0" borderId="0" xfId="0" applyFont="true" applyBorder="false" applyAlignment="true" applyProtection="false">
      <alignment horizontal="general" vertical="top" textRotation="0" wrapText="true" indent="0"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xf numFmtId="164" fontId="0" fillId="3" borderId="0" xfId="0" applyFont="false" applyBorder="false" applyAlignment="false" applyProtection="false">
      <alignment horizontal="general" vertical="bottom" textRotation="0" wrapText="false" indent="0" shrinkToFit="false"/>
      <protection locked="true" hidden="false"/>
    </xf>
    <xf numFmtId="164" fontId="7" fillId="0" borderId="0" xfId="0" applyFont="true" applyBorder="false" applyAlignment="false" applyProtection="false">
      <alignment horizontal="general" vertical="bottom" textRotation="0" wrapText="false" indent="0" shrinkToFit="false"/>
      <protection locked="true" hidden="false"/>
    </xf>
    <xf numFmtId="164" fontId="8" fillId="0" borderId="0" xfId="0" applyFont="true" applyBorder="true" applyAlignment="true" applyProtection="false">
      <alignment horizontal="general" vertical="top" textRotation="0" wrapText="true" indent="0" shrinkToFit="false"/>
      <protection locked="true" hidden="false"/>
    </xf>
    <xf numFmtId="164" fontId="9" fillId="0" borderId="0" xfId="0" applyFont="true" applyBorder="fals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1E6DE"/>
      <rgbColor rgb="FFE4EAF0"/>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24405E"/>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M9"/>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8.6796875" defaultRowHeight="15" customHeight="false" zeroHeight="false" outlineLevelRow="0" outlineLevelCol="0"/>
  <cols>
    <col collapsed="false" customWidth="true" hidden="false" outlineLevel="0" max="1" min="1" style="0" width="10"/>
    <col collapsed="false" customWidth="true" hidden="false" outlineLevel="0" max="2" min="2" style="0" width="20"/>
    <col collapsed="false" customWidth="true" hidden="false" outlineLevel="0" max="3" min="3" style="0" width="13"/>
    <col collapsed="false" customWidth="true" hidden="false" outlineLevel="0" max="4" min="4" style="0" width="12"/>
    <col collapsed="false" customWidth="true" hidden="false" outlineLevel="0" max="6" min="5" style="0" width="13"/>
    <col collapsed="false" customWidth="true" hidden="false" outlineLevel="0" max="7" min="7" style="0" width="12"/>
    <col collapsed="false" customWidth="true" hidden="false" outlineLevel="0" max="8" min="8" style="0" width="18"/>
    <col collapsed="false" customWidth="true" hidden="false" outlineLevel="0" max="9" min="9" style="0" width="15"/>
    <col collapsed="false" customWidth="true" hidden="false" outlineLevel="0" max="10" min="10" style="0" width="14"/>
    <col collapsed="false" customWidth="true" hidden="false" outlineLevel="0" max="11" min="11" style="0" width="13"/>
    <col collapsed="false" customWidth="true" hidden="false" outlineLevel="0" max="12" min="12" style="0" width="14"/>
    <col collapsed="false" customWidth="true" hidden="false" outlineLevel="0" max="13" min="13" style="0" width="58"/>
  </cols>
  <sheetData>
    <row r="1" customFormat="false" ht="15" hidden="false" customHeight="false" outlineLevel="0" collapsed="false">
      <c r="A1" s="1" t="s">
        <v>0</v>
      </c>
    </row>
    <row r="3" customFormat="false" ht="46.25" hidden="false" customHeight="false" outlineLevel="0" collapsed="false">
      <c r="A3" s="2" t="s">
        <v>1</v>
      </c>
      <c r="B3" s="2" t="s">
        <v>2</v>
      </c>
      <c r="C3" s="2" t="s">
        <v>3</v>
      </c>
      <c r="D3" s="2" t="s">
        <v>4</v>
      </c>
      <c r="E3" s="2" t="s">
        <v>5</v>
      </c>
      <c r="F3" s="2" t="s">
        <v>6</v>
      </c>
      <c r="G3" s="2" t="s">
        <v>7</v>
      </c>
      <c r="H3" s="2" t="s">
        <v>8</v>
      </c>
      <c r="I3" s="2" t="s">
        <v>9</v>
      </c>
      <c r="J3" s="2" t="s">
        <v>10</v>
      </c>
      <c r="K3" s="2" t="s">
        <v>11</v>
      </c>
      <c r="L3" s="2" t="s">
        <v>12</v>
      </c>
      <c r="M3" s="2" t="s">
        <v>13</v>
      </c>
    </row>
    <row r="4" customFormat="false" ht="23.85" hidden="false" customHeight="false" outlineLevel="0" collapsed="false">
      <c r="A4" s="0" t="s">
        <v>14</v>
      </c>
      <c r="B4" s="0" t="s">
        <v>15</v>
      </c>
      <c r="C4" s="0" t="s">
        <v>16</v>
      </c>
      <c r="D4" s="0" t="n">
        <f aca="false">DATEVALUE("2026-08-14")-DATEVALUE(C4)</f>
        <v>12</v>
      </c>
      <c r="E4" s="0" t="n">
        <v>30</v>
      </c>
      <c r="F4" s="0" t="str">
        <f aca="false">TEXT(DATEVALUE(C4)+E4,"YYYY-MM-DD")</f>
        <v>2026-09-01</v>
      </c>
      <c r="G4" s="0" t="str">
        <f aca="false">IF(D4&lt;=E4,"yes","no")</f>
        <v>yes</v>
      </c>
      <c r="H4" s="0" t="s">
        <v>17</v>
      </c>
      <c r="I4" s="0" t="s">
        <v>18</v>
      </c>
      <c r="J4" s="0" t="s">
        <v>18</v>
      </c>
      <c r="K4" s="0" t="str">
        <f aca="false">IF(AND(I4="yes",J4="no"),"yes","no")</f>
        <v>no</v>
      </c>
      <c r="L4" s="0" t="str">
        <f aca="false">IF(K4="yes","not reached",IF(AND(H4="supplier",G4="yes"),"yes","no"))</f>
        <v>yes</v>
      </c>
      <c r="M4" s="3" t="s">
        <v>19</v>
      </c>
    </row>
    <row r="5" customFormat="false" ht="35.05" hidden="false" customHeight="false" outlineLevel="0" collapsed="false">
      <c r="A5" s="0" t="s">
        <v>20</v>
      </c>
      <c r="B5" s="0" t="s">
        <v>15</v>
      </c>
      <c r="C5" s="0" t="s">
        <v>21</v>
      </c>
      <c r="D5" s="0" t="n">
        <f aca="false">DATEVALUE("2026-08-14")-DATEVALUE(C5)</f>
        <v>45</v>
      </c>
      <c r="E5" s="0" t="n">
        <v>30</v>
      </c>
      <c r="F5" s="0" t="str">
        <f aca="false">TEXT(DATEVALUE(C5)+E5,"YYYY-MM-DD")</f>
        <v>2026-07-30</v>
      </c>
      <c r="G5" s="0" t="str">
        <f aca="false">IF(D5&lt;=E5,"yes","no")</f>
        <v>no</v>
      </c>
      <c r="H5" s="0" t="s">
        <v>17</v>
      </c>
      <c r="I5" s="0" t="s">
        <v>18</v>
      </c>
      <c r="J5" s="0" t="s">
        <v>18</v>
      </c>
      <c r="K5" s="0" t="str">
        <f aca="false">IF(AND(I5="yes",J5="no"),"yes","no")</f>
        <v>no</v>
      </c>
      <c r="L5" s="0" t="str">
        <f aca="false">IF(K5="yes","not reached",IF(AND(H5="supplier",G5="yes"),"yes","no"))</f>
        <v>no</v>
      </c>
      <c r="M5" s="3" t="s">
        <v>22</v>
      </c>
    </row>
    <row r="6" customFormat="false" ht="23.85" hidden="false" customHeight="false" outlineLevel="0" collapsed="false">
      <c r="A6" s="0" t="s">
        <v>23</v>
      </c>
      <c r="B6" s="0" t="s">
        <v>24</v>
      </c>
      <c r="C6" s="0" t="s">
        <v>25</v>
      </c>
      <c r="D6" s="0" t="n">
        <f aca="false">DATEVALUE("2026-08-14")-DATEVALUE(C6)</f>
        <v>9</v>
      </c>
      <c r="E6" s="0" t="n">
        <v>30</v>
      </c>
      <c r="F6" s="0" t="str">
        <f aca="false">TEXT(DATEVALUE(C6)+E6,"YYYY-MM-DD")</f>
        <v>2026-09-04</v>
      </c>
      <c r="G6" s="0" t="str">
        <f aca="false">IF(D6&lt;=E6,"yes","no")</f>
        <v>yes</v>
      </c>
      <c r="H6" s="0" t="s">
        <v>17</v>
      </c>
      <c r="I6" s="0" t="s">
        <v>26</v>
      </c>
      <c r="J6" s="0" t="s">
        <v>26</v>
      </c>
      <c r="K6" s="0" t="str">
        <f aca="false">IF(AND(I6="yes",J6="no"),"yes","no")</f>
        <v>no</v>
      </c>
      <c r="L6" s="0" t="str">
        <f aca="false">IF(K6="yes","not reached",IF(AND(H6="supplier",G6="yes"),"yes","no"))</f>
        <v>yes</v>
      </c>
      <c r="M6" s="3" t="s">
        <v>27</v>
      </c>
    </row>
    <row r="7" customFormat="false" ht="23.85" hidden="false" customHeight="false" outlineLevel="0" collapsed="false">
      <c r="A7" s="0" t="s">
        <v>28</v>
      </c>
      <c r="B7" s="0" t="s">
        <v>24</v>
      </c>
      <c r="C7" s="0" t="s">
        <v>29</v>
      </c>
      <c r="D7" s="0" t="n">
        <f aca="false">DATEVALUE("2026-08-14")-DATEVALUE(C7)</f>
        <v>15</v>
      </c>
      <c r="E7" s="0" t="n">
        <v>30</v>
      </c>
      <c r="F7" s="0" t="str">
        <f aca="false">TEXT(DATEVALUE(C7)+E7,"YYYY-MM-DD")</f>
        <v>2026-08-29</v>
      </c>
      <c r="G7" s="0" t="str">
        <f aca="false">IF(D7&lt;=E7,"yes","no")</f>
        <v>yes</v>
      </c>
      <c r="H7" s="0" t="s">
        <v>17</v>
      </c>
      <c r="I7" s="0" t="s">
        <v>26</v>
      </c>
      <c r="J7" s="0" t="s">
        <v>18</v>
      </c>
      <c r="K7" s="0" t="str">
        <f aca="false">IF(AND(I7="yes",J7="no"),"yes","no")</f>
        <v>yes</v>
      </c>
      <c r="L7" s="0" t="str">
        <f aca="false">IF(K7="yes","not reached",IF(AND(H7="supplier",G7="yes"),"yes","no"))</f>
        <v>not reached</v>
      </c>
      <c r="M7" s="3" t="s">
        <v>30</v>
      </c>
    </row>
    <row r="8" customFormat="false" ht="23.85" hidden="false" customHeight="false" outlineLevel="0" collapsed="false">
      <c r="A8" s="0" t="s">
        <v>31</v>
      </c>
      <c r="B8" s="0" t="s">
        <v>15</v>
      </c>
      <c r="C8" s="0" t="s">
        <v>32</v>
      </c>
      <c r="D8" s="0" t="n">
        <f aca="false">DATEVALUE("2026-08-14")-DATEVALUE(C8)</f>
        <v>7</v>
      </c>
      <c r="E8" s="0" t="n">
        <v>30</v>
      </c>
      <c r="F8" s="0" t="str">
        <f aca="false">TEXT(DATEVALUE(C8)+E8,"YYYY-MM-DD")</f>
        <v>2026-09-06</v>
      </c>
      <c r="G8" s="0" t="str">
        <f aca="false">IF(D8&lt;=E8,"yes","no")</f>
        <v>yes</v>
      </c>
      <c r="H8" s="0" t="s">
        <v>33</v>
      </c>
      <c r="I8" s="0" t="s">
        <v>18</v>
      </c>
      <c r="J8" s="0" t="s">
        <v>18</v>
      </c>
      <c r="K8" s="0" t="str">
        <f aca="false">IF(AND(I8="yes",J8="no"),"yes","no")</f>
        <v>no</v>
      </c>
      <c r="L8" s="0" t="str">
        <f aca="false">IF(K8="yes","not reached",IF(AND(H8="supplier",G8="yes"),"yes","no"))</f>
        <v>no</v>
      </c>
      <c r="M8" s="3" t="s">
        <v>34</v>
      </c>
    </row>
    <row r="9" customFormat="false" ht="23.85" hidden="false" customHeight="false" outlineLevel="0" collapsed="false">
      <c r="A9" s="0" t="s">
        <v>35</v>
      </c>
      <c r="B9" s="0" t="s">
        <v>36</v>
      </c>
      <c r="C9" s="0" t="s">
        <v>37</v>
      </c>
      <c r="D9" s="0" t="n">
        <f aca="false">DATEVALUE("2026-08-14")-DATEVALUE(C9)</f>
        <v>52</v>
      </c>
      <c r="E9" s="0" t="n">
        <v>30</v>
      </c>
      <c r="F9" s="0" t="str">
        <f aca="false">TEXT(DATEVALUE(C9)+E9,"YYYY-MM-DD")</f>
        <v>2026-07-23</v>
      </c>
      <c r="G9" s="0" t="str">
        <f aca="false">IF(D9&lt;=E9,"yes","no")</f>
        <v>no</v>
      </c>
      <c r="H9" s="0" t="s">
        <v>17</v>
      </c>
      <c r="I9" s="0" t="s">
        <v>18</v>
      </c>
      <c r="J9" s="0" t="s">
        <v>18</v>
      </c>
      <c r="K9" s="0" t="str">
        <f aca="false">IF(AND(I9="yes",J9="no"),"yes","no")</f>
        <v>no</v>
      </c>
      <c r="L9" s="0" t="str">
        <f aca="false">IF(K9="yes","not reached",IF(AND(H9="supplier",G9="yes"),"yes","no"))</f>
        <v>no</v>
      </c>
      <c r="M9" s="3" t="s">
        <v>38</v>
      </c>
    </row>
  </sheetData>
  <printOptions headings="false" gridLines="false" gridLinesSet="true" horizontalCentered="false" verticalCentered="false"/>
  <pageMargins left="0.75" right="0.75" top="1" bottom="1" header="0.511811023622047" footer="0.511811023622047"/>
  <pageSetup paperSize="1" scale="100" fitToWidth="1" fitToHeight="1" pageOrder="downThenOver" orientation="landscape"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H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8.6796875" defaultRowHeight="15" customHeight="false" zeroHeight="false" outlineLevelRow="0" outlineLevelCol="0"/>
  <cols>
    <col collapsed="false" customWidth="true" hidden="false" outlineLevel="0" max="1" min="1" style="0" width="10"/>
    <col collapsed="false" customWidth="true" hidden="false" outlineLevel="0" max="2" min="2" style="0" width="13"/>
    <col collapsed="false" customWidth="true" hidden="false" outlineLevel="0" max="4" min="3" style="0" width="14"/>
    <col collapsed="false" customWidth="true" hidden="false" outlineLevel="0" max="5" min="5" style="0" width="13"/>
    <col collapsed="false" customWidth="true" hidden="false" outlineLevel="0" max="6" min="6" style="0" width="15"/>
    <col collapsed="false" customWidth="true" hidden="false" outlineLevel="0" max="7" min="7" style="0" width="16"/>
    <col collapsed="false" customWidth="true" hidden="false" outlineLevel="0" max="8" min="8" style="0" width="15"/>
  </cols>
  <sheetData>
    <row r="1" customFormat="false" ht="15" hidden="false" customHeight="false" outlineLevel="0" collapsed="false">
      <c r="A1" s="1" t="s">
        <v>39</v>
      </c>
    </row>
    <row r="3" customFormat="false" ht="23.85" hidden="false" customHeight="false" outlineLevel="0" collapsed="false">
      <c r="A3" s="2" t="s">
        <v>1</v>
      </c>
      <c r="B3" s="2" t="s">
        <v>40</v>
      </c>
      <c r="C3" s="2" t="s">
        <v>41</v>
      </c>
      <c r="D3" s="2" t="s">
        <v>42</v>
      </c>
      <c r="E3" s="2" t="s">
        <v>43</v>
      </c>
      <c r="F3" s="2" t="s">
        <v>44</v>
      </c>
      <c r="G3" s="2" t="s">
        <v>45</v>
      </c>
      <c r="H3" s="2" t="s">
        <v>46</v>
      </c>
    </row>
    <row r="4" customFormat="false" ht="15" hidden="false" customHeight="false" outlineLevel="0" collapsed="false">
      <c r="A4" s="0" t="s">
        <v>14</v>
      </c>
      <c r="B4" s="0" t="str">
        <f aca="false">IF(AND(Lot_Gates!K4="no",Lot_Gates!L4="no"),"yes","no")</f>
        <v>no</v>
      </c>
      <c r="C4" s="0" t="n">
        <v>380</v>
      </c>
      <c r="D4" s="0" t="n">
        <v>1240</v>
      </c>
      <c r="E4" s="0" t="n">
        <v>0</v>
      </c>
      <c r="F4" s="0" t="n">
        <f aca="false">ROUND(D4-E4,2)</f>
        <v>1240</v>
      </c>
      <c r="G4" s="0" t="str">
        <f aca="false">IF(B4="no","-",IF(C4&lt;=F4,"rework","scrap and replace"))</f>
        <v>-</v>
      </c>
      <c r="H4" s="0" t="n">
        <f aca="false">IF(B4="no",0,ROUND(MIN(C4,F4),2))</f>
        <v>0</v>
      </c>
    </row>
    <row r="5" customFormat="false" ht="15" hidden="false" customHeight="false" outlineLevel="0" collapsed="false">
      <c r="A5" s="0" t="s">
        <v>20</v>
      </c>
      <c r="B5" s="0" t="str">
        <f aca="false">IF(AND(Lot_Gates!K5="no",Lot_Gates!L5="no"),"yes","no")</f>
        <v>yes</v>
      </c>
      <c r="C5" s="0" t="n">
        <v>520</v>
      </c>
      <c r="D5" s="0" t="n">
        <v>890</v>
      </c>
      <c r="E5" s="0" t="n">
        <v>60</v>
      </c>
      <c r="F5" s="0" t="n">
        <f aca="false">ROUND(D5-E5,2)</f>
        <v>830</v>
      </c>
      <c r="G5" s="0" t="str">
        <f aca="false">IF(B5="no","-",IF(C5&lt;=F5,"rework","scrap and replace"))</f>
        <v>rework</v>
      </c>
      <c r="H5" s="0" t="n">
        <f aca="false">IF(B5="no",0,ROUND(MIN(C5,F5),2))</f>
        <v>520</v>
      </c>
    </row>
    <row r="6" customFormat="false" ht="15" hidden="false" customHeight="false" outlineLevel="0" collapsed="false">
      <c r="A6" s="0" t="s">
        <v>23</v>
      </c>
      <c r="B6" s="0" t="str">
        <f aca="false">IF(AND(Lot_Gates!K6="no",Lot_Gates!L6="no"),"yes","no")</f>
        <v>no</v>
      </c>
      <c r="C6" s="0" t="n">
        <v>1450</v>
      </c>
      <c r="D6" s="0" t="n">
        <v>1100</v>
      </c>
      <c r="E6" s="0" t="n">
        <v>0</v>
      </c>
      <c r="F6" s="0" t="n">
        <f aca="false">ROUND(D6-E6,2)</f>
        <v>1100</v>
      </c>
      <c r="G6" s="0" t="str">
        <f aca="false">IF(B6="no","-",IF(C6&lt;=F6,"rework","scrap and replace"))</f>
        <v>-</v>
      </c>
      <c r="H6" s="0" t="n">
        <f aca="false">IF(B6="no",0,ROUND(MIN(C6,F6),2))</f>
        <v>0</v>
      </c>
    </row>
    <row r="7" customFormat="false" ht="15" hidden="false" customHeight="false" outlineLevel="0" collapsed="false">
      <c r="A7" s="0" t="s">
        <v>28</v>
      </c>
      <c r="B7" s="0" t="str">
        <f aca="false">IF(AND(Lot_Gates!K7="no",Lot_Gates!L7="no"),"yes","no")</f>
        <v>no</v>
      </c>
      <c r="C7" s="0" t="n">
        <v>0</v>
      </c>
      <c r="D7" s="0" t="n">
        <v>0</v>
      </c>
      <c r="E7" s="0" t="n">
        <v>0</v>
      </c>
      <c r="F7" s="0" t="n">
        <f aca="false">ROUND(D7-E7,2)</f>
        <v>0</v>
      </c>
      <c r="G7" s="0" t="str">
        <f aca="false">IF(B7="no","-",IF(C7&lt;=F7,"rework","scrap and replace"))</f>
        <v>-</v>
      </c>
      <c r="H7" s="0" t="n">
        <f aca="false">IF(B7="no",0,ROUND(MIN(C7,F7),2))</f>
        <v>0</v>
      </c>
    </row>
    <row r="8" customFormat="false" ht="15" hidden="false" customHeight="false" outlineLevel="0" collapsed="false">
      <c r="A8" s="0" t="s">
        <v>31</v>
      </c>
      <c r="B8" s="0" t="str">
        <f aca="false">IF(AND(Lot_Gates!K8="no",Lot_Gates!L8="no"),"yes","no")</f>
        <v>yes</v>
      </c>
      <c r="C8" s="0" t="n">
        <v>240</v>
      </c>
      <c r="D8" s="0" t="n">
        <v>760</v>
      </c>
      <c r="E8" s="0" t="n">
        <v>40</v>
      </c>
      <c r="F8" s="0" t="n">
        <f aca="false">ROUND(D8-E8,2)</f>
        <v>720</v>
      </c>
      <c r="G8" s="0" t="str">
        <f aca="false">IF(B8="no","-",IF(C8&lt;=F8,"rework","scrap and replace"))</f>
        <v>rework</v>
      </c>
      <c r="H8" s="0" t="n">
        <f aca="false">IF(B8="no",0,ROUND(MIN(C8,F8),2))</f>
        <v>240</v>
      </c>
    </row>
    <row r="9" customFormat="false" ht="15" hidden="false" customHeight="false" outlineLevel="0" collapsed="false">
      <c r="A9" s="0" t="s">
        <v>35</v>
      </c>
      <c r="B9" s="0" t="str">
        <f aca="false">IF(AND(Lot_Gates!K9="no",Lot_Gates!L9="no"),"yes","no")</f>
        <v>yes</v>
      </c>
      <c r="C9" s="0" t="n">
        <v>1900</v>
      </c>
      <c r="D9" s="0" t="n">
        <v>1150</v>
      </c>
      <c r="E9" s="0" t="n">
        <v>90</v>
      </c>
      <c r="F9" s="0" t="n">
        <f aca="false">ROUND(D9-E9,2)</f>
        <v>1060</v>
      </c>
      <c r="G9" s="0" t="str">
        <f aca="false">IF(B9="no","-",IF(C9&lt;=F9,"rework","scrap and replace"))</f>
        <v>scrap and replace</v>
      </c>
      <c r="H9" s="0" t="n">
        <f aca="false">IF(B9="no",0,ROUND(MIN(C9,F9),2))</f>
        <v>1060</v>
      </c>
    </row>
  </sheetData>
  <printOptions headings="false" gridLines="false" gridLinesSet="true" horizontalCentered="false" verticalCentered="false"/>
  <pageMargins left="0.75" right="0.75" top="1" bottom="1" header="0.511811023622047" footer="0.511811023622047"/>
  <pageSetup paperSize="1" scale="100" fitToWidth="1" fitToHeight="1" pageOrder="downThenOver" orientation="landscape"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M1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8.6796875" defaultRowHeight="15" customHeight="false" zeroHeight="false" outlineLevelRow="0" outlineLevelCol="0"/>
  <cols>
    <col collapsed="false" customWidth="true" hidden="false" outlineLevel="0" max="1" min="1" style="0" width="10"/>
    <col collapsed="false" customWidth="true" hidden="false" outlineLevel="0" max="2" min="2" style="0" width="19"/>
    <col collapsed="false" customWidth="true" hidden="false" outlineLevel="0" max="3" min="3" style="0" width="10"/>
    <col collapsed="false" customWidth="true" hidden="false" outlineLevel="0" max="5" min="4" style="0" width="12"/>
    <col collapsed="false" customWidth="true" hidden="false" outlineLevel="0" max="6" min="6" style="0" width="16"/>
    <col collapsed="false" customWidth="true" hidden="false" outlineLevel="0" max="7" min="7" style="0" width="12"/>
    <col collapsed="false" customWidth="true" hidden="false" outlineLevel="0" max="8" min="8" style="0" width="15"/>
    <col collapsed="false" customWidth="true" hidden="false" outlineLevel="0" max="9" min="9" style="0" width="16"/>
    <col collapsed="false" customWidth="true" hidden="false" outlineLevel="0" max="11" min="10" style="0" width="11"/>
    <col collapsed="false" customWidth="true" hidden="false" outlineLevel="0" max="12" min="12" style="0" width="13"/>
    <col collapsed="false" customWidth="true" hidden="false" outlineLevel="0" max="13" min="13" style="0" width="52"/>
  </cols>
  <sheetData>
    <row r="1" customFormat="false" ht="15" hidden="false" customHeight="false" outlineLevel="0" collapsed="false">
      <c r="A1" s="1" t="s">
        <v>47</v>
      </c>
      <c r="B1" s="0" t="str">
        <f aca="false">TEXT(DATEVALUE("2026-09-01")+3,"YYYY-MM-DD")</f>
        <v>2026-09-04</v>
      </c>
      <c r="C1" s="4" t="s">
        <v>48</v>
      </c>
    </row>
    <row r="3" customFormat="false" ht="35.05" hidden="false" customHeight="false" outlineLevel="0" collapsed="false">
      <c r="A3" s="2" t="s">
        <v>1</v>
      </c>
      <c r="B3" s="2" t="s">
        <v>49</v>
      </c>
      <c r="C3" s="2" t="s">
        <v>50</v>
      </c>
      <c r="D3" s="2" t="s">
        <v>51</v>
      </c>
      <c r="E3" s="2" t="s">
        <v>52</v>
      </c>
      <c r="F3" s="2" t="s">
        <v>53</v>
      </c>
      <c r="G3" s="2" t="s">
        <v>54</v>
      </c>
      <c r="H3" s="2" t="s">
        <v>55</v>
      </c>
      <c r="I3" s="2" t="s">
        <v>56</v>
      </c>
      <c r="J3" s="2" t="s">
        <v>57</v>
      </c>
      <c r="K3" s="2" t="s">
        <v>58</v>
      </c>
      <c r="L3" s="2" t="s">
        <v>59</v>
      </c>
      <c r="M3" s="2" t="s">
        <v>60</v>
      </c>
    </row>
    <row r="4" customFormat="false" ht="15" hidden="false" customHeight="false" outlineLevel="0" collapsed="false">
      <c r="A4" s="0" t="s">
        <v>14</v>
      </c>
      <c r="B4" s="0" t="str">
        <f aca="false">IF(Lot_Gates!K4="yes","use as is",IF(Lot_Gates!L4="yes","return to vendor",Cost_Compare!G4))</f>
        <v>return to vendor</v>
      </c>
      <c r="C4" s="0" t="str">
        <f aca="false">IF(Lot_Gates!K4="yes","QS-9 3",IF(Lot_Gates!L4="yes","QS-9 4","QS-9 6"))</f>
        <v>QS-9 4</v>
      </c>
      <c r="D4" s="0" t="n">
        <f aca="false">IF(OR(Lot_Gates!K4="yes",Lot_Gates!L4="yes"),0,Cost_Compare!H4)</f>
        <v>0</v>
      </c>
      <c r="E4" s="0" t="str">
        <f aca="false">IF(Lot_Gates!K4="yes","none",IF(Lot_Gates!L4="yes","supplier","Wexford"))</f>
        <v>supplier</v>
      </c>
      <c r="F4" s="0" t="n">
        <f aca="false">IF(Lot_Gates!L4="yes",Cost_Compare!D4,0)</f>
        <v>1240</v>
      </c>
      <c r="G4" s="0" t="n">
        <v>18</v>
      </c>
      <c r="H4" s="0" t="str">
        <f aca="false">IF(OR(B4="use as is",B4="rework"),"stays in house",TEXT(DATEVALUE("2026-08-14")+G4,"YYYY-MM-DD"))</f>
        <v>2026-09-01</v>
      </c>
      <c r="I4" s="0" t="str">
        <f aca="false">IF(H4="stays in house","n/a",IF(DATEVALUE(H4)&lt;=DATEVALUE($B$1),"yes","no"))</f>
        <v>yes</v>
      </c>
      <c r="J4" s="0" t="n">
        <v>40</v>
      </c>
      <c r="K4" s="0" t="n">
        <v>14</v>
      </c>
      <c r="L4" s="0" t="n">
        <f aca="false">IF(K4&lt;J4,J4-K4,0)</f>
        <v>26</v>
      </c>
      <c r="M4" s="3" t="s">
        <v>61</v>
      </c>
    </row>
    <row r="5" customFormat="false" ht="23.85" hidden="false" customHeight="false" outlineLevel="0" collapsed="false">
      <c r="A5" s="0" t="s">
        <v>20</v>
      </c>
      <c r="B5" s="0" t="str">
        <f aca="false">IF(Lot_Gates!K5="yes","use as is",IF(Lot_Gates!L5="yes","return to vendor",Cost_Compare!G5))</f>
        <v>rework</v>
      </c>
      <c r="C5" s="0" t="str">
        <f aca="false">IF(Lot_Gates!K5="yes","QS-9 3",IF(Lot_Gates!L5="yes","QS-9 4","QS-9 6"))</f>
        <v>QS-9 6</v>
      </c>
      <c r="D5" s="5" t="n">
        <f aca="false">IF(OR(Lot_Gates!K5="yes",Lot_Gates!L5="yes"),0,Cost_Compare!H5)</f>
        <v>520</v>
      </c>
      <c r="E5" s="0" t="str">
        <f aca="false">IF(Lot_Gates!K5="yes","none",IF(Lot_Gates!L5="yes","supplier","Wexford"))</f>
        <v>Wexford</v>
      </c>
      <c r="F5" s="0" t="n">
        <f aca="false">IF(Lot_Gates!L5="yes",Cost_Compare!D5,0)</f>
        <v>0</v>
      </c>
      <c r="G5" s="0" t="n">
        <v>18</v>
      </c>
      <c r="H5" s="0" t="str">
        <f aca="false">IF(OR(B5="use as is",B5="rework"),"stays in house",TEXT(DATEVALUE("2026-08-14")+G5,"YYYY-MM-DD"))</f>
        <v>stays in house</v>
      </c>
      <c r="I5" s="0" t="str">
        <f aca="false">IF(H5="stays in house","n/a",IF(DATEVALUE(H5)&lt;=DATEVALUE($B$1),"yes","no"))</f>
        <v>n/a</v>
      </c>
      <c r="J5" s="0" t="n">
        <v>25</v>
      </c>
      <c r="K5" s="0" t="n">
        <v>9</v>
      </c>
      <c r="L5" s="0" t="n">
        <f aca="false">IF(K5&lt;J5,J5-K5,0)</f>
        <v>16</v>
      </c>
      <c r="M5" s="3" t="s">
        <v>62</v>
      </c>
    </row>
    <row r="6" customFormat="false" ht="23.85" hidden="false" customHeight="false" outlineLevel="0" collapsed="false">
      <c r="A6" s="0" t="s">
        <v>23</v>
      </c>
      <c r="B6" s="0" t="str">
        <f aca="false">IF(Lot_Gates!K6="yes","use as is",IF(Lot_Gates!L6="yes","return to vendor",Cost_Compare!G6))</f>
        <v>return to vendor</v>
      </c>
      <c r="C6" s="0" t="str">
        <f aca="false">IF(Lot_Gates!K6="yes","QS-9 3",IF(Lot_Gates!L6="yes","QS-9 4","QS-9 6"))</f>
        <v>QS-9 4</v>
      </c>
      <c r="D6" s="0" t="n">
        <f aca="false">IF(OR(Lot_Gates!K6="yes",Lot_Gates!L6="yes"),0,Cost_Compare!H6)</f>
        <v>0</v>
      </c>
      <c r="E6" s="0" t="str">
        <f aca="false">IF(Lot_Gates!K6="yes","none",IF(Lot_Gates!L6="yes","supplier","Wexford"))</f>
        <v>supplier</v>
      </c>
      <c r="F6" s="0" t="n">
        <f aca="false">IF(Lot_Gates!L6="yes",Cost_Compare!D6,0)</f>
        <v>1100</v>
      </c>
      <c r="G6" s="0" t="n">
        <v>21</v>
      </c>
      <c r="H6" s="0" t="str">
        <f aca="false">IF(OR(B6="use as is",B6="rework"),"stays in house",TEXT(DATEVALUE("2026-08-14")+G6,"YYYY-MM-DD"))</f>
        <v>2026-09-04</v>
      </c>
      <c r="I6" s="0" t="str">
        <f aca="false">IF(H6="stays in house","n/a",IF(DATEVALUE(H6)&lt;=DATEVALUE($B$1),"yes","no"))</f>
        <v>yes</v>
      </c>
      <c r="J6" s="0" t="n">
        <v>60</v>
      </c>
      <c r="K6" s="0" t="n">
        <v>60</v>
      </c>
      <c r="L6" s="0" t="n">
        <f aca="false">IF(K6&lt;J6,J6-K6,0)</f>
        <v>0</v>
      </c>
      <c r="M6" s="3" t="s">
        <v>63</v>
      </c>
    </row>
    <row r="7" customFormat="false" ht="23.85" hidden="false" customHeight="false" outlineLevel="0" collapsed="false">
      <c r="A7" s="0" t="s">
        <v>28</v>
      </c>
      <c r="B7" s="0" t="str">
        <f aca="false">IF(Lot_Gates!K7="yes","use as is",IF(Lot_Gates!L7="yes","return to vendor",Cost_Compare!G7))</f>
        <v>use as is</v>
      </c>
      <c r="C7" s="0" t="str">
        <f aca="false">IF(Lot_Gates!K7="yes","QS-9 3",IF(Lot_Gates!L7="yes","QS-9 4","QS-9 6"))</f>
        <v>QS-9 3</v>
      </c>
      <c r="D7" s="0" t="n">
        <f aca="false">IF(OR(Lot_Gates!K7="yes",Lot_Gates!L7="yes"),0,Cost_Compare!H7)</f>
        <v>0</v>
      </c>
      <c r="E7" s="0" t="str">
        <f aca="false">IF(Lot_Gates!K7="yes","none",IF(Lot_Gates!L7="yes","supplier","Wexford"))</f>
        <v>none</v>
      </c>
      <c r="F7" s="0" t="n">
        <f aca="false">IF(Lot_Gates!L7="yes",Cost_Compare!D7,0)</f>
        <v>0</v>
      </c>
      <c r="G7" s="0" t="n">
        <v>0</v>
      </c>
      <c r="H7" s="0" t="str">
        <f aca="false">IF(OR(B7="use as is",B7="rework"),"stays in house",TEXT(DATEVALUE("2026-08-14")+G7,"YYYY-MM-DD"))</f>
        <v>stays in house</v>
      </c>
      <c r="I7" s="0" t="str">
        <f aca="false">IF(H7="stays in house","n/a",IF(DATEVALUE(H7)&lt;=DATEVALUE($B$1),"yes","no"))</f>
        <v>n/a</v>
      </c>
      <c r="J7" s="0" t="n">
        <v>30</v>
      </c>
      <c r="K7" s="0" t="n">
        <v>0</v>
      </c>
      <c r="L7" s="0" t="n">
        <f aca="false">IF(K7&lt;J7,J7-K7,0)</f>
        <v>30</v>
      </c>
      <c r="M7" s="3" t="s">
        <v>64</v>
      </c>
    </row>
    <row r="8" customFormat="false" ht="23.85" hidden="false" customHeight="false" outlineLevel="0" collapsed="false">
      <c r="A8" s="0" t="s">
        <v>31</v>
      </c>
      <c r="B8" s="0" t="str">
        <f aca="false">IF(Lot_Gates!K8="yes","use as is",IF(Lot_Gates!L8="yes","return to vendor",Cost_Compare!G8))</f>
        <v>rework</v>
      </c>
      <c r="C8" s="0" t="str">
        <f aca="false">IF(Lot_Gates!K8="yes","QS-9 3",IF(Lot_Gates!L8="yes","QS-9 4","QS-9 6"))</f>
        <v>QS-9 6</v>
      </c>
      <c r="D8" s="0" t="n">
        <f aca="false">IF(OR(Lot_Gates!K8="yes",Lot_Gates!L8="yes"),0,Cost_Compare!H8)</f>
        <v>240</v>
      </c>
      <c r="E8" s="0" t="str">
        <f aca="false">IF(Lot_Gates!K8="yes","none",IF(Lot_Gates!L8="yes","supplier","Wexford"))</f>
        <v>Wexford</v>
      </c>
      <c r="F8" s="0" t="n">
        <f aca="false">IF(Lot_Gates!L8="yes",Cost_Compare!D8,0)</f>
        <v>0</v>
      </c>
      <c r="G8" s="0" t="n">
        <v>14</v>
      </c>
      <c r="H8" s="0" t="str">
        <f aca="false">IF(OR(B8="use as is",B8="rework"),"stays in house",TEXT(DATEVALUE("2026-08-14")+G8,"YYYY-MM-DD"))</f>
        <v>stays in house</v>
      </c>
      <c r="I8" s="0" t="str">
        <f aca="false">IF(H8="stays in house","n/a",IF(DATEVALUE(H8)&lt;=DATEVALUE($B$1),"yes","no"))</f>
        <v>n/a</v>
      </c>
      <c r="J8" s="0" t="n">
        <v>18</v>
      </c>
      <c r="K8" s="0" t="n">
        <v>6</v>
      </c>
      <c r="L8" s="0" t="n">
        <f aca="false">IF(K8&lt;J8,J8-K8,0)</f>
        <v>12</v>
      </c>
      <c r="M8" s="3" t="s">
        <v>65</v>
      </c>
    </row>
    <row r="9" customFormat="false" ht="23.85" hidden="false" customHeight="false" outlineLevel="0" collapsed="false">
      <c r="A9" s="0" t="s">
        <v>35</v>
      </c>
      <c r="B9" s="0" t="str">
        <f aca="false">IF(Lot_Gates!K9="yes","use as is",IF(Lot_Gates!L9="yes","return to vendor",Cost_Compare!G9))</f>
        <v>scrap and replace</v>
      </c>
      <c r="C9" s="0" t="str">
        <f aca="false">IF(Lot_Gates!K9="yes","QS-9 3",IF(Lot_Gates!L9="yes","QS-9 4","QS-9 6"))</f>
        <v>QS-9 6</v>
      </c>
      <c r="D9" s="5" t="n">
        <f aca="false">IF(OR(Lot_Gates!K9="yes",Lot_Gates!L9="yes"),0,Cost_Compare!H9)</f>
        <v>1060</v>
      </c>
      <c r="E9" s="0" t="str">
        <f aca="false">IF(Lot_Gates!K9="yes","none",IF(Lot_Gates!L9="yes","supplier","Wexford"))</f>
        <v>Wexford</v>
      </c>
      <c r="F9" s="0" t="n">
        <f aca="false">IF(Lot_Gates!L9="yes",Cost_Compare!D9,0)</f>
        <v>0</v>
      </c>
      <c r="G9" s="0" t="n">
        <v>25</v>
      </c>
      <c r="H9" s="0" t="str">
        <f aca="false">IF(OR(B9="use as is",B9="rework"),"stays in house",TEXT(DATEVALUE("2026-08-14")+G9,"YYYY-MM-DD"))</f>
        <v>2026-09-08</v>
      </c>
      <c r="I9" s="0" t="str">
        <f aca="false">IF(H9="stays in house","n/a",IF(DATEVALUE(H9)&lt;=DATEVALUE($B$1),"yes","no"))</f>
        <v>no</v>
      </c>
      <c r="J9" s="0" t="n">
        <v>22</v>
      </c>
      <c r="K9" s="0" t="n">
        <v>9</v>
      </c>
      <c r="L9" s="0" t="n">
        <f aca="false">IF(K9&lt;J9,J9-K9,0)</f>
        <v>13</v>
      </c>
      <c r="M9" s="3" t="s">
        <v>66</v>
      </c>
    </row>
    <row r="11" customFormat="false" ht="15" hidden="false" customHeight="false" outlineLevel="0" collapsed="false">
      <c r="A11" s="6" t="s">
        <v>67</v>
      </c>
      <c r="D11" s="6" t="n">
        <f aca="false">ROUND(SUM(D4:D9),2)</f>
        <v>1820</v>
      </c>
    </row>
    <row r="12" customFormat="false" ht="15" hidden="false" customHeight="false" outlineLevel="0" collapsed="false">
      <c r="A12" s="6" t="s">
        <v>68</v>
      </c>
      <c r="D12" s="6" t="n">
        <f aca="false">ROUND(SUM(F4:F9),2)</f>
        <v>2340</v>
      </c>
    </row>
    <row r="13" customFormat="false" ht="15" hidden="false" customHeight="false" outlineLevel="0" collapsed="false">
      <c r="A13" s="6" t="s">
        <v>69</v>
      </c>
      <c r="D13" s="6" t="n">
        <f aca="false">COUNTIF(B4:B9,"use as is")</f>
        <v>1</v>
      </c>
    </row>
    <row r="14" customFormat="false" ht="15" hidden="false" customHeight="false" outlineLevel="0" collapsed="false">
      <c r="A14" s="6" t="s">
        <v>70</v>
      </c>
      <c r="D14" s="6" t="n">
        <f aca="false">COUNTIF(B4:B9,"return to vendor")</f>
        <v>2</v>
      </c>
    </row>
    <row r="15" customFormat="false" ht="15" hidden="false" customHeight="false" outlineLevel="0" collapsed="false">
      <c r="A15" s="6" t="s">
        <v>71</v>
      </c>
      <c r="D15" s="6" t="n">
        <f aca="false">COUNTIF(B4:B9,"rework")</f>
        <v>2</v>
      </c>
    </row>
    <row r="16" customFormat="false" ht="15" hidden="false" customHeight="false" outlineLevel="0" collapsed="false">
      <c r="A16" s="6" t="s">
        <v>72</v>
      </c>
      <c r="D16" s="6" t="n">
        <f aca="false">COUNTIF(B4:B9,"scrap and replace")</f>
        <v>1</v>
      </c>
    </row>
    <row r="17" customFormat="false" ht="15" hidden="false" customHeight="false" outlineLevel="0" collapsed="false">
      <c r="A17" s="6" t="s">
        <v>73</v>
      </c>
      <c r="D17" s="6" t="n">
        <f aca="false">COUNTIF(Lot_Gates!G4:G9,"no")</f>
        <v>2</v>
      </c>
    </row>
    <row r="18" customFormat="false" ht="15" hidden="false" customHeight="false" outlineLevel="0" collapsed="false">
      <c r="A18" s="6" t="s">
        <v>74</v>
      </c>
      <c r="D18" s="6" t="n">
        <f aca="false">COUNTIF(I4:I9,"no")</f>
        <v>1</v>
      </c>
    </row>
    <row r="19" customFormat="false" ht="15" hidden="false" customHeight="false" outlineLevel="0" collapsed="false">
      <c r="A19" s="6" t="s">
        <v>75</v>
      </c>
      <c r="D19" s="6" t="n">
        <f aca="false">SUM(L4:L9)</f>
        <v>97</v>
      </c>
    </row>
  </sheetData>
  <printOptions headings="false" gridLines="false" gridLinesSet="true" horizontalCentered="false" verticalCentered="false"/>
  <pageMargins left="0.75" right="0.75" top="1" bottom="1" header="0.511811023622047" footer="0.511811023622047"/>
  <pageSetup paperSize="1" scale="100" fitToWidth="1" fitToHeight="1" pageOrder="downThenOver" orientation="landscape"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F3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customHeight="false" zeroHeight="false" outlineLevelRow="0" outlineLevelCol="0"/>
  <cols>
    <col collapsed="false" customWidth="true" hidden="false" outlineLevel="0" max="1" min="1" style="0" width="44"/>
    <col collapsed="false" customWidth="true" hidden="false" outlineLevel="0" max="2" min="2" style="0" width="20"/>
  </cols>
  <sheetData>
    <row r="1" customFormat="false" ht="15" hidden="false" customHeight="false" outlineLevel="0" collapsed="false">
      <c r="A1" s="1" t="s">
        <v>76</v>
      </c>
    </row>
    <row r="2" customFormat="false" ht="15" hidden="false" customHeight="false" outlineLevel="0" collapsed="false">
      <c r="A2" s="4" t="s">
        <v>77</v>
      </c>
    </row>
    <row r="4" customFormat="false" ht="15" hidden="false" customHeight="false" outlineLevel="0" collapsed="false">
      <c r="A4" s="2" t="s">
        <v>78</v>
      </c>
      <c r="B4" s="2" t="s">
        <v>79</v>
      </c>
    </row>
    <row r="5" customFormat="false" ht="15" hidden="false" customHeight="false" outlineLevel="0" collapsed="false">
      <c r="A5" s="6" t="s">
        <v>67</v>
      </c>
      <c r="B5" s="6" t="n">
        <f aca="false">Dispositions!D11</f>
        <v>1820</v>
      </c>
    </row>
    <row r="6" customFormat="false" ht="15" hidden="false" customHeight="false" outlineLevel="0" collapsed="false">
      <c r="A6" s="6" t="s">
        <v>68</v>
      </c>
      <c r="B6" s="6" t="n">
        <f aca="false">Dispositions!D12</f>
        <v>2340</v>
      </c>
    </row>
    <row r="7" customFormat="false" ht="15" hidden="false" customHeight="false" outlineLevel="0" collapsed="false">
      <c r="A7" s="6" t="s">
        <v>69</v>
      </c>
      <c r="B7" s="6" t="n">
        <f aca="false">Dispositions!D13</f>
        <v>1</v>
      </c>
    </row>
    <row r="8" customFormat="false" ht="15" hidden="false" customHeight="false" outlineLevel="0" collapsed="false">
      <c r="A8" s="6" t="s">
        <v>70</v>
      </c>
      <c r="B8" s="6" t="n">
        <f aca="false">Dispositions!D14</f>
        <v>2</v>
      </c>
    </row>
    <row r="9" customFormat="false" ht="15" hidden="false" customHeight="false" outlineLevel="0" collapsed="false">
      <c r="A9" s="6" t="s">
        <v>71</v>
      </c>
      <c r="B9" s="6" t="n">
        <f aca="false">Dispositions!D15</f>
        <v>2</v>
      </c>
    </row>
    <row r="10" customFormat="false" ht="15" hidden="false" customHeight="false" outlineLevel="0" collapsed="false">
      <c r="A10" s="6" t="s">
        <v>72</v>
      </c>
      <c r="B10" s="6" t="n">
        <f aca="false">Dispositions!D16</f>
        <v>1</v>
      </c>
    </row>
    <row r="13" customFormat="false" ht="15" hidden="false" customHeight="false" outlineLevel="0" collapsed="false">
      <c r="A13" s="4" t="s">
        <v>80</v>
      </c>
    </row>
    <row r="14" customFormat="false" ht="15" hidden="false" customHeight="false" outlineLevel="0" collapsed="false">
      <c r="A14" s="4" t="s">
        <v>81</v>
      </c>
    </row>
    <row r="15" customFormat="false" ht="15" hidden="false" customHeight="false" outlineLevel="0" collapsed="false">
      <c r="A15" s="4" t="s">
        <v>82</v>
      </c>
    </row>
    <row r="16" customFormat="false" ht="15" hidden="false" customHeight="false" outlineLevel="0" collapsed="false">
      <c r="A16" s="4"/>
    </row>
    <row r="17" customFormat="false" ht="15" hidden="false" customHeight="false" outlineLevel="0" collapsed="false">
      <c r="A17" s="4" t="s">
        <v>83</v>
      </c>
    </row>
    <row r="18" customFormat="false" ht="15" hidden="false" customHeight="false" outlineLevel="0" collapsed="false">
      <c r="A18" s="4" t="s">
        <v>84</v>
      </c>
    </row>
    <row r="19" customFormat="false" ht="15" hidden="false" customHeight="false" outlineLevel="0" collapsed="false">
      <c r="A19" s="4" t="s">
        <v>85</v>
      </c>
    </row>
    <row r="20" customFormat="false" ht="15" hidden="false" customHeight="false" outlineLevel="0" collapsed="false">
      <c r="A20" s="4" t="s">
        <v>86</v>
      </c>
    </row>
    <row r="21" customFormat="false" ht="15" hidden="false" customHeight="false" outlineLevel="0" collapsed="false">
      <c r="A21" s="4"/>
    </row>
    <row r="22" customFormat="false" ht="15" hidden="false" customHeight="false" outlineLevel="0" collapsed="false">
      <c r="A22" s="4" t="s">
        <v>87</v>
      </c>
    </row>
    <row r="23" customFormat="false" ht="15" hidden="false" customHeight="false" outlineLevel="0" collapsed="false">
      <c r="A23" s="4" t="s">
        <v>88</v>
      </c>
    </row>
    <row r="24" customFormat="false" ht="15" hidden="false" customHeight="false" outlineLevel="0" collapsed="false">
      <c r="A24" s="4" t="s">
        <v>89</v>
      </c>
    </row>
    <row r="25" customFormat="false" ht="15" hidden="false" customHeight="false" outlineLevel="0" collapsed="false">
      <c r="A25" s="4" t="s">
        <v>90</v>
      </c>
    </row>
    <row r="26" customFormat="false" ht="15" hidden="false" customHeight="false" outlineLevel="0" collapsed="false">
      <c r="A26" s="4" t="s">
        <v>91</v>
      </c>
    </row>
    <row r="27" customFormat="false" ht="15" hidden="false" customHeight="false" outlineLevel="0" collapsed="false">
      <c r="A27" s="4"/>
    </row>
    <row r="28" customFormat="false" ht="15" hidden="false" customHeight="false" outlineLevel="0" collapsed="false">
      <c r="A28" s="4" t="s">
        <v>92</v>
      </c>
    </row>
    <row r="29" customFormat="false" ht="15" hidden="false" customHeight="false" outlineLevel="0" collapsed="false">
      <c r="A29" s="4" t="s">
        <v>93</v>
      </c>
    </row>
    <row r="30" customFormat="false" ht="15" hidden="false" customHeight="false" outlineLevel="0" collapsed="false">
      <c r="A30" s="4" t="s">
        <v>94</v>
      </c>
    </row>
    <row r="31" customFormat="false" ht="15" hidden="false" customHeight="false" outlineLevel="0" collapsed="false">
      <c r="A31" s="4"/>
    </row>
    <row r="32" customFormat="false" ht="15" hidden="false" customHeight="false" outlineLevel="0" collapsed="false">
      <c r="A32" s="4" t="s">
        <v>95</v>
      </c>
    </row>
    <row r="33" customFormat="false" ht="15" hidden="false" customHeight="false" outlineLevel="0" collapsed="false">
      <c r="A33" s="4" t="s">
        <v>96</v>
      </c>
    </row>
    <row r="34" customFormat="false" ht="15" hidden="false" customHeight="false" outlineLevel="0" collapsed="false">
      <c r="A34" s="4" t="s">
        <v>97</v>
      </c>
    </row>
    <row r="35" customFormat="false" ht="39.75" hidden="false" customHeight="true" outlineLevel="0" collapsed="false">
      <c r="A35" s="7" t="s">
        <v>98</v>
      </c>
      <c r="B35" s="7"/>
      <c r="C35" s="7"/>
      <c r="D35" s="7"/>
      <c r="E35" s="7"/>
      <c r="F35" s="7"/>
    </row>
    <row r="36" customFormat="false" ht="15" hidden="false" customHeight="false" outlineLevel="0" collapsed="false">
      <c r="A36" s="8" t="s">
        <v>99</v>
      </c>
    </row>
    <row r="37" customFormat="false" ht="78" hidden="false" customHeight="true" outlineLevel="0" collapsed="false">
      <c r="A37" s="7" t="s">
        <v>100</v>
      </c>
      <c r="B37" s="7"/>
      <c r="C37" s="7"/>
      <c r="D37" s="7"/>
      <c r="E37" s="7"/>
      <c r="F37" s="7"/>
    </row>
  </sheetData>
  <mergeCells count="2">
    <mergeCell ref="A35:F35"/>
    <mergeCell ref="A37:F37"/>
  </mergeCells>
  <printOptions headings="false" gridLines="false" gridLinesSet="true" horizontalCentered="false" verticalCentered="false"/>
  <pageMargins left="0.75" right="0.75" top="1" bottom="1" header="0.511811023622047" footer="0.511811023622047"/>
  <pageSetup paperSize="1" scale="100" fitToWidth="1" fitToHeight="1" pageOrder="downThenOver" orientation="landscape"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LibreOffice/26.2.5.2$MacOSX_AARCH64 LibreOffice_project/cd7284b4cbbfeb507e630c1aac019f4157393acb</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2026-08-21T01:37:50Z</dcterms:created>
  <dc:creator>D. Hocutt</dc:creator>
  <dc:description/>
  <dc:language>en-US</dc:language>
  <cp:lastModifiedBy>D. Hocutt</cp:lastModifiedBy>
  <dcterms:modified xsi:type="dcterms:W3CDTF">2026-08-21T01:37:50Z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